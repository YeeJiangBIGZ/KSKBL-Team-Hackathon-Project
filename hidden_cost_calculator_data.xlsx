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f0aa8f5b214d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 Data" sheetId="1" r:id="Rc9af2451b00840a0"/>
    <x:sheet xmlns:r="http://schemas.openxmlformats.org/officeDocument/2006/relationships" name="Sources" sheetId="2" r:id="R211ad720c00245b9"/>
    <x:sheet xmlns:r="http://schemas.openxmlformats.org/officeDocument/2006/relationships" name="How to Use" sheetId="3" r:id="R056ff43a51954c6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3">
    <x:font>
      <x:sz val="11"/>
      <x:name val="Carlito"/>
    </x:font>
    <x:font>
      <x:b/>
      <x:sz val="11"/>
      <x:color rgb="FFFFFF"/>
      <x:name val="Carlito"/>
    </x:font>
    <x:font>
      <x:b/>
      <x:sz val="16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ill>
        <x:patternFill patternType="solid">
          <x:bgColor rgb="FECACA"/>
        </x:patternFill>
      </x:fill>
    </x:dxf>
    <x:dxf>
      <x:fill>
        <x:patternFill patternType="solid">
          <x:bgColor rgb="FEF3C7"/>
        </x:patternFill>
      </x:fill>
    </x:dxf>
    <x:dxf>
      <x:fill>
        <x:patternFill patternType="solid">
          <x:bgColor rgb="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38f5d8eaba4f11" /><Relationship Type="http://schemas.openxmlformats.org/officeDocument/2006/relationships/theme" Target="/xl/theme/theme1.xml" Id="R0596d5d8171345bf" /><Relationship Type="http://schemas.openxmlformats.org/officeDocument/2006/relationships/sharedStrings" Target="/xl/sharedStrings.xml" Id="R715f52af5a3545bb" /><Relationship Type="http://schemas.openxmlformats.org/officeDocument/2006/relationships/worksheet" Target="/xl/worksheets/sheet1.xml" Id="Rc9af2451b00840a0" /><Relationship Type="http://schemas.openxmlformats.org/officeDocument/2006/relationships/worksheet" Target="/xl/worksheets/sheet2.xml" Id="R211ad720c00245b9" /><Relationship Type="http://schemas.openxmlformats.org/officeDocument/2006/relationships/worksheet" Target="/xl/worksheets/sheet3.xml" Id="R056ff43a51954c6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c1160a8582f4ae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Overall Hidden Cost Score by Product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Series 1</c:v>
          </c:tx>
          <c:cat>
            <c:strLit>
              <c:ptCount val="1"/>
              <c:pt idx="0">
                <c:v>Item 1</c:v>
              </c:pt>
            </c:strLit>
          </c:cat>
          <c:val>
            <c:numLit>
              <c:formatCode/>
              <c:ptCount val="1"/>
              <c:pt idx="0">
                <c:v>0</c:v>
              </c:pt>
            </c:numLit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18</xdr:col>
      <xdr:colOff>0</xdr:colOff>
      <xdr:row>1</xdr:row>
      <xdr:rowOff>0</xdr:rowOff>
    </xdr:from>
    <xdr:to>
      <xdr:col>27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c1160a8582f4ae0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HiddenCostProducts" displayName="HiddenCostProducts" ref="A1:Q16" headerRowCount="1">
  <x:tableColumns count="17">
    <x:tableColumn id="1" name="product_id"/>
    <x:tableColumn id="2" name="product_name"/>
    <x:tableColumn id="3" name="category"/>
    <x:tableColumn id="4" name="surface_description"/>
    <x:tableColumn id="5" name="hidden_environmental_cost"/>
    <x:tableColumn id="6" name="carbon_score_1_10"/>
    <x:tableColumn id="7" name="water_score_1_10"/>
    <x:tableColumn id="8" name="waste_score_1_10"/>
    <x:tableColumn id="9" name="pollution_score_1_10"/>
    <x:tableColumn id="10" name="overall_hidden_cost_score"/>
    <x:tableColumn id="11" name="risk_level"/>
    <x:tableColumn id="12" name="key_hidden_impacts"/>
    <x:tableColumn id="13" name="eco_friendly_alternative"/>
    <x:tableColumn id="14" name="small_user_action"/>
    <x:tableColumn id="15" name="data_note"/>
    <x:tableColumn id="16" name="source_name"/>
    <x:tableColumn id="17" name="source_url"/>
  </x:tableColumns>
  <x:tableStyleInfo name="TableStyleMedium2" showRowStripes="1"/>
</x:table>
</file>

<file path=xl/tables/table2.xml><?xml version="1.0" encoding="utf-8"?>
<x:table xmlns:x="http://schemas.openxmlformats.org/spreadsheetml/2006/main" id="2" name="SourceList" displayName="SourceList" ref="A1:C10" headerRowCount="1">
  <x:tableColumns count="3">
    <x:tableColumn id="1" name="source_name"/>
    <x:tableColumn id="2" name="what_it_supports"/>
    <x:tableColumn id="3" name="source_ur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894896c03714335" /><Relationship Type="http://schemas.openxmlformats.org/officeDocument/2006/relationships/table" Target="/xl/tables/table1.xml" Id="R2e1fb659e18e4ca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e87c56dcf724c4e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18" hidden="0" customWidth="1"/>
    <x:col min="4" max="4" width="32" hidden="0" customWidth="1"/>
    <x:col min="5" max="5" width="45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6" hidden="0" customWidth="1"/>
    <x:col min="11" max="11" width="14" hidden="0" customWidth="1"/>
    <x:col min="12" max="12" width="38" hidden="0" customWidth="1"/>
    <x:col min="13" max="13" width="30" hidden="0" customWidth="1"/>
    <x:col min="14" max="14" width="34" hidden="0" customWidth="1"/>
    <x:col min="15" max="15" width="42" hidden="0" customWidth="1"/>
    <x:col min="16" max="16" width="26" hidden="0" customWidth="1"/>
    <x:col min="17" max="17" width="60" hidden="0" customWidth="1"/>
  </x:cols>
  <x:sheetData>
    <x:row r="1">
      <x:c r="A1" s="10" t="str">
        <x:v>product_id</x:v>
      </x:c>
      <x:c r="B1" s="10" t="str">
        <x:v>product_name</x:v>
      </x:c>
      <x:c r="C1" s="10" t="str">
        <x:v>category</x:v>
      </x:c>
      <x:c r="D1" s="10" t="str">
        <x:v>surface_description</x:v>
      </x:c>
      <x:c r="E1" s="10" t="str">
        <x:v>hidden_environmental_cost</x:v>
      </x:c>
      <x:c r="F1" s="10" t="str">
        <x:v>carbon_score_1_10</x:v>
      </x:c>
      <x:c r="G1" s="10" t="str">
        <x:v>water_score_1_10</x:v>
      </x:c>
      <x:c r="H1" s="10" t="str">
        <x:v>waste_score_1_10</x:v>
      </x:c>
      <x:c r="I1" s="10" t="str">
        <x:v>pollution_score_1_10</x:v>
      </x:c>
      <x:c r="J1" s="10" t="str">
        <x:v>overall_hidden_cost_score</x:v>
      </x:c>
      <x:c r="K1" s="10" t="str">
        <x:v>risk_level</x:v>
      </x:c>
      <x:c r="L1" s="10" t="str">
        <x:v>key_hidden_impacts</x:v>
      </x:c>
      <x:c r="M1" s="10" t="str">
        <x:v>eco_friendly_alternative</x:v>
      </x:c>
      <x:c r="N1" s="10" t="str">
        <x:v>small_user_action</x:v>
      </x:c>
      <x:c r="O1" s="10" t="str">
        <x:v>data_note</x:v>
      </x:c>
      <x:c r="P1" s="10" t="str">
        <x:v>source_name</x:v>
      </x:c>
      <x:c r="Q1" s="10" t="str">
        <x:v>source_url</x:v>
      </x:c>
    </x:row>
    <x:row r="2">
      <x:c r="A2" s="12" t="str">
        <x:v>plastic_water_bottle</x:v>
      </x:c>
      <x:c r="B2" s="12" t="str">
        <x:v>Plastic Water Bottle</x:v>
      </x:c>
      <x:c r="C2" s="12" t="str">
        <x:v>Drink packaging</x:v>
      </x:c>
      <x:c r="D2" s="12" t="str">
        <x:v>Cheap, convenient bottled water.</x:v>
      </x:c>
      <x:c r="E2" s="12" t="str">
        <x:v>Requires plastic production from fossil fuels, transportation, and often becomes landfill or litter if not recycled.</x:v>
      </x:c>
      <x:c r="F2" s="16" t="n">
        <x:v>6</x:v>
      </x:c>
      <x:c r="G2" s="16" t="n">
        <x:v>3</x:v>
      </x:c>
      <x:c r="H2" s="16" t="n">
        <x:v>9</x:v>
      </x:c>
      <x:c r="I2" s="16" t="n">
        <x:v>8</x:v>
      </x:c>
      <x:c r="J2" s="16" t="n">
        <x:f>ROUND(AVERAGE(F2:I2),1)</x:f>
        <x:v>6.5</x:v>
      </x:c>
      <x:c r="K2" s="12" t="str">
        <x:f>IF(J2&gt;=7,"High",IF(J2&gt;=4,"Medium","Low"))</x:f>
        <x:v>Medium</x:v>
      </x:c>
      <x:c r="L2" s="12" t="str">
        <x:v>PET plastic; fossil fuel use; single-use waste; ocean/landfill pollution</x:v>
      </x:c>
      <x:c r="M2" s="12" t="str">
        <x:v>Reusable water bottle</x:v>
      </x:c>
      <x:c r="N2" s="12" t="str">
        <x:v>Carry a refillable bottle and use water fountains when possible.</x:v>
      </x:c>
      <x:c r="O2" s="12" t="str">
        <x:v>EPA reported PET bottles and jars had a 29.1% recycling rate in 2018.</x:v>
      </x:c>
      <x:c r="P2" s="12" t="str">
        <x:v>US EPA Plastics: Material-Specific Data</x:v>
      </x:c>
      <x:c r="Q2" s="12" t="str">
        <x:v>https://www.epa.gov/facts-and-figures-about-materials-waste-and-recycling/plastics-material-specific-data</x:v>
      </x:c>
    </x:row>
    <x:row r="3">
      <x:c r="A3" s="12" t="str">
        <x:v>plastic_bag</x:v>
      </x:c>
      <x:c r="B3" s="12" t="str">
        <x:v>Plastic Shopping Bag</x:v>
      </x:c>
      <x:c r="C3" s="12" t="str">
        <x:v>Shopping packaging</x:v>
      </x:c>
      <x:c r="D3" s="12" t="str">
        <x:v>Lightweight bag used for a few minutes.</x:v>
      </x:c>
      <x:c r="E3" s="12" t="str">
        <x:v>Plastic bags are made from fossil-fuel-based material and can become litter or long-lasting waste.</x:v>
      </x:c>
      <x:c r="F3" s="16" t="n">
        <x:v>5</x:v>
      </x:c>
      <x:c r="G3" s="16" t="n">
        <x:v>2</x:v>
      </x:c>
      <x:c r="H3" s="16" t="n">
        <x:v>9</x:v>
      </x:c>
      <x:c r="I3" s="16" t="n">
        <x:v>8</x:v>
      </x:c>
      <x:c r="J3" s="16" t="n">
        <x:f>ROUND(AVERAGE(F3:I3),1)</x:f>
        <x:v>6</x:v>
      </x:c>
      <x:c r="K3" s="12" t="str">
        <x:f>IF(J3&gt;=7,"High",IF(J3&gt;=4,"Medium","Low"))</x:f>
        <x:v>Medium</x:v>
      </x:c>
      <x:c r="L3" s="12" t="str">
        <x:v>Short use life; litter risk; landfill waste; wildlife harm</x:v>
      </x:c>
      <x:c r="M3" s="12" t="str">
        <x:v>Reusable tote bag</x:v>
      </x:c>
      <x:c r="N3" s="12" t="str">
        <x:v>Keep one reusable bag in your backpack or car.</x:v>
      </x:c>
      <x:c r="O3" s="12" t="str">
        <x:v>University of Michigan notes that most U.S. plastic waste is landfilled and only a small share is recycled.</x:v>
      </x:c>
      <x:c r="P3" s="12" t="str">
        <x:v>University of Michigan CSS Plastic Waste Factsheet</x:v>
      </x:c>
      <x:c r="Q3" s="12" t="str">
        <x:v>https://css.umich.edu/publications/factsheets/material-resources/plastic-waste-factsheet</x:v>
      </x:c>
    </x:row>
    <x:row r="4">
      <x:c r="A4" s="12" t="str">
        <x:v>fast_fashion_shirt</x:v>
      </x:c>
      <x:c r="B4" s="12" t="str">
        <x:v>Fast Fashion Shirt</x:v>
      </x:c>
      <x:c r="C4" s="12" t="str">
        <x:v>Clothing</x:v>
      </x:c>
      <x:c r="D4" s="12" t="str">
        <x:v>A low-cost, trendy shirt.</x:v>
      </x:c>
      <x:c r="E4" s="12" t="str">
        <x:v>Fast fashion can hide water use, textile waste, dye pollution, microplastic pollution, and carbon emissions.</x:v>
      </x:c>
      <x:c r="F4" s="16" t="n">
        <x:v>8</x:v>
      </x:c>
      <x:c r="G4" s="16" t="n">
        <x:v>9</x:v>
      </x:c>
      <x:c r="H4" s="16" t="n">
        <x:v>9</x:v>
      </x:c>
      <x:c r="I4" s="16" t="n">
        <x:v>8</x:v>
      </x:c>
      <x:c r="J4" s="16" t="n">
        <x:f>ROUND(AVERAGE(F4:I4),1)</x:f>
        <x:v>8.5</x:v>
      </x:c>
      <x:c r="K4" s="12" t="str">
        <x:f>IF(J4&gt;=7,"High",IF(J4&gt;=4,"Medium","Low"))</x:f>
        <x:v>High</x:v>
      </x:c>
      <x:c r="L4" s="12" t="str">
        <x:v>Textile waste; water use; chemical dyes; microplastics; emissions</x:v>
      </x:c>
      <x:c r="M4" s="12" t="str">
        <x:v>Thrifted or longer-lasting clothing</x:v>
      </x:c>
      <x:c r="N4" s="12" t="str">
        <x:v>Buy fewer items and choose clothes you will wear many times.</x:v>
      </x:c>
      <x:c r="O4" s="12" t="str">
        <x:v>UNEP reports the fashion/textiles sector contributes 2–8% of global greenhouse gas emissions and consumes large volumes of water.</x:v>
      </x:c>
      <x:c r="P4" s="12" t="str">
        <x:v>UNEP Sustainable Fashion Technical Highlight</x:v>
      </x:c>
      <x:c r="Q4" s="12" t="str">
        <x:v>https://www.unep.org/technical-highlight/sustainable-fashion-take-centre-stage-zero-waste-day</x:v>
      </x:c>
    </x:row>
    <x:row r="5">
      <x:c r="A5" s="12" t="str">
        <x:v>takeout_container</x:v>
      </x:c>
      <x:c r="B5" s="12" t="str">
        <x:v>Takeout Container</x:v>
      </x:c>
      <x:c r="C5" s="12" t="str">
        <x:v>Food packaging</x:v>
      </x:c>
      <x:c r="D5" s="12" t="str">
        <x:v>Convenient container for one meal.</x:v>
      </x:c>
      <x:c r="E5" s="12" t="str">
        <x:v>Single-use packaging creates waste and may be difficult to recycle if contaminated with food.</x:v>
      </x:c>
      <x:c r="F5" s="16" t="n">
        <x:v>5</x:v>
      </x:c>
      <x:c r="G5" s="16" t="n">
        <x:v>3</x:v>
      </x:c>
      <x:c r="H5" s="16" t="n">
        <x:v>8</x:v>
      </x:c>
      <x:c r="I5" s="16" t="n">
        <x:v>7</x:v>
      </x:c>
      <x:c r="J5" s="16" t="n">
        <x:f>ROUND(AVERAGE(F5:I5),1)</x:f>
        <x:v>5.8</x:v>
      </x:c>
      <x:c r="K5" s="12" t="str">
        <x:f>IF(J5&gt;=7,"High",IF(J5&gt;=4,"Medium","Low"))</x:f>
        <x:v>Medium</x:v>
      </x:c>
      <x:c r="L5" s="12" t="str">
        <x:v>Single-use waste; contamination; landfill; plastic/foam pollution</x:v>
      </x:c>
      <x:c r="M5" s="12" t="str">
        <x:v>Reusable container or dine-in option</x:v>
      </x:c>
      <x:c r="N5" s="12" t="str">
        <x:v>Choose restaurants that use compostable or reusable packaging when possible.</x:v>
      </x:c>
      <x:c r="O5" s="12" t="str">
        <x:v>EPA municipal waste data shows packaging is a major part of municipal solid waste.</x:v>
      </x:c>
      <x:c r="P5" s="12" t="str">
        <x:v>US EPA Containers and Packaging: Product-Specific Data</x:v>
      </x:c>
      <x:c r="Q5" s="12" t="str">
        <x:v>https://www.epa.gov/facts-and-figures-about-materials-waste-and-recycling/containers-and-packaging-product-specific</x:v>
      </x:c>
    </x:row>
    <x:row r="6">
      <x:c r="A6" s="12" t="str">
        <x:v>disposable_coffee_cup</x:v>
      </x:c>
      <x:c r="B6" s="12" t="str">
        <x:v>Disposable Coffee Cup</x:v>
      </x:c>
      <x:c r="C6" s="12" t="str">
        <x:v>Drink packaging</x:v>
      </x:c>
      <x:c r="D6" s="12" t="str">
        <x:v>A convenient cup for coffee or tea.</x:v>
      </x:c>
      <x:c r="E6" s="12" t="str">
        <x:v>Many disposable cups include coatings or lids that make recycling harder and add single-use waste.</x:v>
      </x:c>
      <x:c r="F6" s="16" t="n">
        <x:v>4</x:v>
      </x:c>
      <x:c r="G6" s="16" t="n">
        <x:v>4</x:v>
      </x:c>
      <x:c r="H6" s="16" t="n">
        <x:v>7</x:v>
      </x:c>
      <x:c r="I6" s="16" t="n">
        <x:v>6</x:v>
      </x:c>
      <x:c r="J6" s="16" t="n">
        <x:f>ROUND(AVERAGE(F6:I6),1)</x:f>
        <x:v>5.3</x:v>
      </x:c>
      <x:c r="K6" s="12" t="str">
        <x:f>IF(J6&gt;=7,"High",IF(J6&gt;=4,"Medium","Low"))</x:f>
        <x:v>Medium</x:v>
      </x:c>
      <x:c r="L6" s="12" t="str">
        <x:v>Paper/plastic mix; single-use cup; plastic lid; recycling difficulty</x:v>
      </x:c>
      <x:c r="M6" s="12" t="str">
        <x:v>Reusable coffee mug</x:v>
      </x:c>
      <x:c r="N6" s="12" t="str">
        <x:v>Bring a reusable cup when buying drinks.</x:v>
      </x:c>
      <x:c r="O6" s="12" t="str">
        <x:v>EPA packaging data can support discussion of paper/plastic container waste.</x:v>
      </x:c>
      <x:c r="P6" s="12" t="str">
        <x:v>US EPA Containers and Packaging: Product-Specific Data</x:v>
      </x:c>
      <x:c r="Q6" s="12" t="str">
        <x:v>https://www.epa.gov/facts-and-figures-about-materials-waste-and-recycling/containers-and-packaging-product-specific</x:v>
      </x:c>
    </x:row>
    <x:row r="7">
      <x:c r="A7" s="12" t="str">
        <x:v>beef_burger</x:v>
      </x:c>
      <x:c r="B7" s="12" t="str">
        <x:v>Beef Burger</x:v>
      </x:c>
      <x:c r="C7" s="12" t="str">
        <x:v>Food</x:v>
      </x:c>
      <x:c r="D7" s="12" t="str">
        <x:v>A normal fast-food or restaurant meal.</x:v>
      </x:c>
      <x:c r="E7" s="12" t="str">
        <x:v>Beef production can involve high greenhouse gas emissions, land use, water demand, and methane from cattle.</x:v>
      </x:c>
      <x:c r="F7" s="16" t="n">
        <x:v>10</x:v>
      </x:c>
      <x:c r="G7" s="16" t="n">
        <x:v>8</x:v>
      </x:c>
      <x:c r="H7" s="16" t="n">
        <x:v>3</x:v>
      </x:c>
      <x:c r="I7" s="16" t="n">
        <x:v>6</x:v>
      </x:c>
      <x:c r="J7" s="16" t="n">
        <x:f>ROUND(AVERAGE(F7:I7),1)</x:f>
        <x:v>6.8</x:v>
      </x:c>
      <x:c r="K7" s="12" t="str">
        <x:f>IF(J7&gt;=7,"High",IF(J7&gt;=4,"Medium","Low"))</x:f>
        <x:v>Medium</x:v>
      </x:c>
      <x:c r="L7" s="12" t="str">
        <x:v>Methane emissions; land use; feed production; water use</x:v>
      </x:c>
      <x:c r="M7" s="12" t="str">
        <x:v>Plant-based burger or chicken/vegetarian option</x:v>
      </x:c>
      <x:c r="N7" s="12" t="str">
        <x:v>Try replacing one beef meal per week with a lower-impact meal.</x:v>
      </x:c>
      <x:c r="O7" s="12" t="str">
        <x:v>CarbonCloud benchmark reports beef hamburger footprint at store shelf; use as a general comparison, not exact local value.</x:v>
      </x:c>
      <x:c r="P7" s="12" t="str">
        <x:v>CarbonCloud Hamburger Beef Benchmark</x:v>
      </x:c>
      <x:c r="Q7" s="12" t="str">
        <x:v>https://apps.carboncloud.com/climatehub/product-reports/id/122369844319</x:v>
      </x:c>
    </x:row>
    <x:row r="8">
      <x:c r="A8" s="12" t="str">
        <x:v>food_delivery_order</x:v>
      </x:c>
      <x:c r="B8" s="12" t="str">
        <x:v>Food Delivery Order</x:v>
      </x:c>
      <x:c r="C8" s="12" t="str">
        <x:v>Food service</x:v>
      </x:c>
      <x:c r="D8" s="12" t="str">
        <x:v>Food arrives quickly at your door.</x:v>
      </x:c>
      <x:c r="E8" s="12" t="str">
        <x:v>Delivery can add packaging waste and transportation emissions beyond the food itself.</x:v>
      </x:c>
      <x:c r="F8" s="16" t="n">
        <x:v>7</x:v>
      </x:c>
      <x:c r="G8" s="16" t="n">
        <x:v>3</x:v>
      </x:c>
      <x:c r="H8" s="16" t="n">
        <x:v>7</x:v>
      </x:c>
      <x:c r="I8" s="16" t="n">
        <x:v>6</x:v>
      </x:c>
      <x:c r="J8" s="16" t="n">
        <x:f>ROUND(AVERAGE(F8:I8),1)</x:f>
        <x:v>5.8</x:v>
      </x:c>
      <x:c r="K8" s="12" t="str">
        <x:f>IF(J8&gt;=7,"High",IF(J8&gt;=4,"Medium","Low"))</x:f>
        <x:v>Medium</x:v>
      </x:c>
      <x:c r="L8" s="12" t="str">
        <x:v>Extra packaging; delivery transportation; single-use utensils; bags</x:v>
      </x:c>
      <x:c r="M8" s="12" t="str">
        <x:v>Pickup, dine-in, or group orders</x:v>
      </x:c>
      <x:c r="N8" s="12" t="str">
        <x:v>Decline disposable utensils and combine orders when possible.</x:v>
      </x:c>
      <x:c r="O8" s="12" t="str">
        <x:v>EPA food waste and packaging sources can support the hidden impact explanation.</x:v>
      </x:c>
      <x:c r="P8" s="12" t="str">
        <x:v>US EPA Food Waste / Landfill Methane</x:v>
      </x:c>
      <x:c r="Q8" s="12" t="str">
        <x:v>https://www.epa.gov/land-research/quantifying-methane-emissions-landfilled-food-waste</x:v>
      </x:c>
    </x:row>
    <x:row r="9">
      <x:c r="A9" s="12" t="str">
        <x:v>wasted_leftovers</x:v>
      </x:c>
      <x:c r="B9" s="12" t="str">
        <x:v>Wasted Leftovers</x:v>
      </x:c>
      <x:c r="C9" s="12" t="str">
        <x:v>Food waste</x:v>
      </x:c>
      <x:c r="D9" s="12" t="str">
        <x:v>Food that seems small enough to throw away.</x:v>
      </x:c>
      <x:c r="E9" s="12" t="str">
        <x:v>Food waste in landfills produces methane as it decomposes without oxygen.</x:v>
      </x:c>
      <x:c r="F9" s="16" t="n">
        <x:v>8</x:v>
      </x:c>
      <x:c r="G9" s="16" t="n">
        <x:v>7</x:v>
      </x:c>
      <x:c r="H9" s="16" t="n">
        <x:v>8</x:v>
      </x:c>
      <x:c r="I9" s="16" t="n">
        <x:v>6</x:v>
      </x:c>
      <x:c r="J9" s="16" t="n">
        <x:f>ROUND(AVERAGE(F9:I9),1)</x:f>
        <x:v>7.3</x:v>
      </x:c>
      <x:c r="K9" s="12" t="str">
        <x:f>IF(J9&gt;=7,"High",IF(J9&gt;=4,"Medium","Low"))</x:f>
        <x:v>High</x:v>
      </x:c>
      <x:c r="L9" s="12" t="str">
        <x:v>Methane; wasted water; wasted energy; landfill space</x:v>
      </x:c>
      <x:c r="M9" s="12" t="str">
        <x:v>Meal planning and composting</x:v>
      </x:c>
      <x:c r="N9" s="12" t="str">
        <x:v>Save leftovers, plan portions, or compost food scraps.</x:v>
      </x:c>
      <x:c r="O9" s="12" t="str">
        <x:v>EPA says food waste is about 24% of municipal solid waste disposed in landfills and landfills are a major methane source.</x:v>
      </x:c>
      <x:c r="P9" s="12" t="str">
        <x:v>US EPA Quantifying Methane Emissions from Landfilled Food Waste</x:v>
      </x:c>
      <x:c r="Q9" s="12" t="str">
        <x:v>https://www.epa.gov/land-research/quantifying-methane-emissions-landfilled-food-waste</x:v>
      </x:c>
    </x:row>
    <x:row r="10">
      <x:c r="A10" s="12" t="str">
        <x:v>smartphone_upgrade</x:v>
      </x:c>
      <x:c r="B10" s="12" t="str">
        <x:v>Smartphone Upgrade</x:v>
      </x:c>
      <x:c r="C10" s="12" t="str">
        <x:v>Electronics</x:v>
      </x:c>
      <x:c r="D10" s="12" t="str">
        <x:v>A newer, faster phone.</x:v>
      </x:c>
      <x:c r="E10" s="12" t="str">
        <x:v>Frequent upgrades can hide e-waste, mining impacts, manufacturing emissions, and difficult recycling.</x:v>
      </x:c>
      <x:c r="F10" s="16" t="n">
        <x:v>8</x:v>
      </x:c>
      <x:c r="G10" s="16" t="n">
        <x:v>5</x:v>
      </x:c>
      <x:c r="H10" s="16" t="n">
        <x:v>8</x:v>
      </x:c>
      <x:c r="I10" s="16" t="n">
        <x:v>8</x:v>
      </x:c>
      <x:c r="J10" s="16" t="n">
        <x:f>ROUND(AVERAGE(F10:I10),1)</x:f>
        <x:v>7.3</x:v>
      </x:c>
      <x:c r="K10" s="12" t="str">
        <x:f>IF(J10&gt;=7,"High",IF(J10&gt;=4,"Medium","Low"))</x:f>
        <x:v>High</x:v>
      </x:c>
      <x:c r="L10" s="12" t="str">
        <x:v>E-waste; rare earth mining; battery materials; manufacturing emissions</x:v>
      </x:c>
      <x:c r="M10" s="12" t="str">
        <x:v>Keep phone longer or buy refurbished</x:v>
      </x:c>
      <x:c r="N10" s="12" t="str">
        <x:v>Repair your phone or trade it in through certified recycling.</x:v>
      </x:c>
      <x:c r="O10" s="12" t="str">
        <x:v>UN e-waste resources describe electronics waste as a growing waste stream with recycling challenges.</x:v>
      </x:c>
      <x:c r="P10" s="12" t="str">
        <x:v>Global E-waste Monitor / UNITAR</x:v>
      </x:c>
      <x:c r="Q10" s="12" t="str">
        <x:v>https://ewastemonitor.info/</x:v>
      </x:c>
    </x:row>
    <x:row r="11">
      <x:c r="A11" s="12" t="str">
        <x:v>cardboard_package</x:v>
      </x:c>
      <x:c r="B11" s="12" t="str">
        <x:v>Cardboard Delivery Box</x:v>
      </x:c>
      <x:c r="C11" s="12" t="str">
        <x:v>Shipping packaging</x:v>
      </x:c>
      <x:c r="D11" s="12" t="str">
        <x:v>A box from online shopping.</x:v>
      </x:c>
      <x:c r="E11" s="12" t="str">
        <x:v>Cardboard is often recyclable, but unnecessary shipping and packaging still use materials and transport energy.</x:v>
      </x:c>
      <x:c r="F11" s="16" t="n">
        <x:v>5</x:v>
      </x:c>
      <x:c r="G11" s="16" t="n">
        <x:v>4</x:v>
      </x:c>
      <x:c r="H11" s="16" t="n">
        <x:v>5</x:v>
      </x:c>
      <x:c r="I11" s="16" t="n">
        <x:v>4</x:v>
      </x:c>
      <x:c r="J11" s="16" t="n">
        <x:f>ROUND(AVERAGE(F11:I11),1)</x:f>
        <x:v>4.5</x:v>
      </x:c>
      <x:c r="K11" s="12" t="str">
        <x:f>IF(J11&gt;=7,"High",IF(J11&gt;=4,"Medium","Low"))</x:f>
        <x:v>Medium</x:v>
      </x:c>
      <x:c r="L11" s="12" t="str">
        <x:v>Packaging material; delivery emissions; tape/plastic fillers; over-packaging</x:v>
      </x:c>
      <x:c r="M11" s="12" t="str">
        <x:v>Consolidated orders or local pickup</x:v>
      </x:c>
      <x:c r="N11" s="12" t="str">
        <x:v>Reuse boxes and recycle clean cardboard.</x:v>
      </x:c>
      <x:c r="O11" s="12" t="str">
        <x:v>EPA reports corrugated boxes had a high recycling rate in 2018, but they still represent a major packaging category.</x:v>
      </x:c>
      <x:c r="P11" s="12" t="str">
        <x:v>US EPA Containers and Packaging: Product-Specific Data</x:v>
      </x:c>
      <x:c r="Q11" s="12" t="str">
        <x:v>https://www.epa.gov/facts-and-figures-about-materials-waste-and-recycling/containers-and-packaging-product-specific</x:v>
      </x:c>
    </x:row>
    <x:row r="12">
      <x:c r="A12" s="12" t="str">
        <x:v>aluminum_can</x:v>
      </x:c>
      <x:c r="B12" s="12" t="str">
        <x:v>Aluminum Can</x:v>
      </x:c>
      <x:c r="C12" s="12" t="str">
        <x:v>Drink packaging</x:v>
      </x:c>
      <x:c r="D12" s="12" t="str">
        <x:v>A common drink container.</x:v>
      </x:c>
      <x:c r="E12" s="12" t="str">
        <x:v>Aluminum is recyclable, but producing new aluminum can require significant energy and mining.</x:v>
      </x:c>
      <x:c r="F12" s="16" t="n">
        <x:v>6</x:v>
      </x:c>
      <x:c r="G12" s="16" t="n">
        <x:v>3</x:v>
      </x:c>
      <x:c r="H12" s="16" t="n">
        <x:v>5</x:v>
      </x:c>
      <x:c r="I12" s="16" t="n">
        <x:v>5</x:v>
      </x:c>
      <x:c r="J12" s="16" t="n">
        <x:f>ROUND(AVERAGE(F12:I12),1)</x:f>
        <x:v>4.8</x:v>
      </x:c>
      <x:c r="K12" s="12" t="str">
        <x:f>IF(J12&gt;=7,"High",IF(J12&gt;=4,"Medium","Low"))</x:f>
        <x:v>Medium</x:v>
      </x:c>
      <x:c r="L12" s="12" t="str">
        <x:v>Mining; high energy production; packaging waste; transport</x:v>
      </x:c>
      <x:c r="M12" s="12" t="str">
        <x:v>Refillable drink container or recycled aluminum products</x:v>
      </x:c>
      <x:c r="N12" s="12" t="str">
        <x:v>Recycle cans and avoid unnecessary single-use drinks.</x:v>
      </x:c>
      <x:c r="O12" s="12" t="str">
        <x:v>EPA containers and packaging data supports recycling and waste context for aluminum containers.</x:v>
      </x:c>
      <x:c r="P12" s="12" t="str">
        <x:v>US EPA Containers and Packaging: Product-Specific Data</x:v>
      </x:c>
      <x:c r="Q12" s="12" t="str">
        <x:v>https://www.epa.gov/facts-and-figures-about-materials-waste-and-recycling/containers-and-packaging-product-specific</x:v>
      </x:c>
    </x:row>
    <x:row r="13">
      <x:c r="A13" s="12" t="str">
        <x:v>single_use_utensils</x:v>
      </x:c>
      <x:c r="B13" s="12" t="str">
        <x:v>Single-use Plastic Utensils</x:v>
      </x:c>
      <x:c r="C13" s="12" t="str">
        <x:v>Food packaging</x:v>
      </x:c>
      <x:c r="D13" s="12" t="str">
        <x:v>A fork, spoon, or knife used once.</x:v>
      </x:c>
      <x:c r="E13" s="12" t="str">
        <x:v>Small plastic items are often not recycled and can add to landfill or litter.</x:v>
      </x:c>
      <x:c r="F13" s="16" t="n">
        <x:v>4</x:v>
      </x:c>
      <x:c r="G13" s="16" t="n">
        <x:v>2</x:v>
      </x:c>
      <x:c r="H13" s="16" t="n">
        <x:v>8</x:v>
      </x:c>
      <x:c r="I13" s="16" t="n">
        <x:v>7</x:v>
      </x:c>
      <x:c r="J13" s="16" t="n">
        <x:f>ROUND(AVERAGE(F13:I13),1)</x:f>
        <x:v>5.3</x:v>
      </x:c>
      <x:c r="K13" s="12" t="str">
        <x:f>IF(J13&gt;=7,"High",IF(J13&gt;=4,"Medium","Low"))</x:f>
        <x:v>Medium</x:v>
      </x:c>
      <x:c r="L13" s="12" t="str">
        <x:v>Single-use plastic; low recyclability; litter; fossil fuel material</x:v>
      </x:c>
      <x:c r="M13" s="12" t="str">
        <x:v>Reusable utensils</x:v>
      </x:c>
      <x:c r="N13" s="12" t="str">
        <x:v>Keep a reusable utensil set in your bag.</x:v>
      </x:c>
      <x:c r="O13" s="12" t="str">
        <x:v>University of Michigan CSS gives broad context on low plastic recycling and high landfill share.</x:v>
      </x:c>
      <x:c r="P13" s="12" t="str">
        <x:v>University of Michigan CSS Plastic Waste Factsheet</x:v>
      </x:c>
      <x:c r="Q13" s="12" t="str">
        <x:v>https://css.umich.edu/publications/factsheets/material-resources/plastic-waste-factsheet</x:v>
      </x:c>
    </x:row>
    <x:row r="14">
      <x:c r="A14" s="12" t="str">
        <x:v>paper_receipt</x:v>
      </x:c>
      <x:c r="B14" s="12" t="str">
        <x:v>Paper Receipt</x:v>
      </x:c>
      <x:c r="C14" s="12" t="str">
        <x:v>Shopping paper</x:v>
      </x:c>
      <x:c r="D14" s="12" t="str">
        <x:v>A small receipt that seems harmless.</x:v>
      </x:c>
      <x:c r="E14" s="12" t="str">
        <x:v>Receipts add paper waste, and thermal paper can create recycling complications.</x:v>
      </x:c>
      <x:c r="F14" s="16" t="n">
        <x:v>2</x:v>
      </x:c>
      <x:c r="G14" s="16" t="n">
        <x:v>3</x:v>
      </x:c>
      <x:c r="H14" s="16" t="n">
        <x:v>4</x:v>
      </x:c>
      <x:c r="I14" s="16" t="n">
        <x:v>4</x:v>
      </x:c>
      <x:c r="J14" s="16" t="n">
        <x:f>ROUND(AVERAGE(F14:I14),1)</x:f>
        <x:v>3.3</x:v>
      </x:c>
      <x:c r="K14" s="12" t="str">
        <x:f>IF(J14&gt;=7,"High",IF(J14&gt;=4,"Medium","Low"))</x:f>
        <x:v>Low</x:v>
      </x:c>
      <x:c r="L14" s="12" t="str">
        <x:v>Paper use; thermal coating; waste; clutter</x:v>
      </x:c>
      <x:c r="M14" s="12" t="str">
        <x:v>Digital receipt</x:v>
      </x:c>
      <x:c r="N14" s="12" t="str">
        <x:v>Choose email or no receipt when possible.</x:v>
      </x:c>
      <x:c r="O14" s="12" t="str">
        <x:v>EPA paper and packaging data can support general paper waste context.</x:v>
      </x:c>
      <x:c r="P14" s="12" t="str">
        <x:v>US EPA National Overview: Materials, Waste and Recycling</x:v>
      </x:c>
      <x:c r="Q14" s="12" t="str">
        <x:v>https://www.epa.gov/facts-and-figures-about-materials-waste-and-recycling/national-overview-facts-and-figures-materials</x:v>
      </x:c>
    </x:row>
    <x:row r="15">
      <x:c r="A15" s="12" t="str">
        <x:v>battery_pack</x:v>
      </x:c>
      <x:c r="B15" s="12" t="str">
        <x:v>Disposable Batteries</x:v>
      </x:c>
      <x:c r="C15" s="12" t="str">
        <x:v>Electronics</x:v>
      </x:c>
      <x:c r="D15" s="12" t="str">
        <x:v>Small batteries for devices.</x:v>
      </x:c>
      <x:c r="E15" s="12" t="str">
        <x:v>Batteries contain materials that should be recycled properly and can create pollution risks if discarded incorrectly.</x:v>
      </x:c>
      <x:c r="F15" s="16" t="n">
        <x:v>5</x:v>
      </x:c>
      <x:c r="G15" s="16" t="n">
        <x:v>4</x:v>
      </x:c>
      <x:c r="H15" s="16" t="n">
        <x:v>7</x:v>
      </x:c>
      <x:c r="I15" s="16" t="n">
        <x:v>8</x:v>
      </x:c>
      <x:c r="J15" s="16" t="n">
        <x:f>ROUND(AVERAGE(F15:I15),1)</x:f>
        <x:v>6</x:v>
      </x:c>
      <x:c r="K15" s="12" t="str">
        <x:f>IF(J15&gt;=7,"High",IF(J15&gt;=4,"Medium","Low"))</x:f>
        <x:v>Medium</x:v>
      </x:c>
      <x:c r="L15" s="12" t="str">
        <x:v>Metals; chemical leakage risk; e-waste; improper disposal</x:v>
      </x:c>
      <x:c r="M15" s="12" t="str">
        <x:v>Rechargeable batteries</x:v>
      </x:c>
      <x:c r="N15" s="12" t="str">
        <x:v>Use rechargeables and recycle batteries at approved drop-off sites.</x:v>
      </x:c>
      <x:c r="O15" s="12" t="str">
        <x:v>EPA battery resources explain that batteries should be managed and recycled properly.</x:v>
      </x:c>
      <x:c r="P15" s="12" t="str">
        <x:v>US EPA Used Lithium-Ion Batteries</x:v>
      </x:c>
      <x:c r="Q15" s="12" t="str">
        <x:v>https://www.epa.gov/recycle/used-lithium-ion-batteries</x:v>
      </x:c>
    </x:row>
    <x:row r="16">
      <x:c r="A16" s="12" t="str">
        <x:v>bottled_soda</x:v>
      </x:c>
      <x:c r="B16" s="12" t="str">
        <x:v>Bottled Soda</x:v>
      </x:c>
      <x:c r="C16" s="12" t="str">
        <x:v>Drink packaging</x:v>
      </x:c>
      <x:c r="D16" s="12" t="str">
        <x:v>A sweet drink in a plastic bottle.</x:v>
      </x:c>
      <x:c r="E16" s="12" t="str">
        <x:v>The drink includes packaging waste plus production and transportation impacts.</x:v>
      </x:c>
      <x:c r="F16" s="16" t="n">
        <x:v>6</x:v>
      </x:c>
      <x:c r="G16" s="16" t="n">
        <x:v>5</x:v>
      </x:c>
      <x:c r="H16" s="16" t="n">
        <x:v>8</x:v>
      </x:c>
      <x:c r="I16" s="16" t="n">
        <x:v>7</x:v>
      </x:c>
      <x:c r="J16" s="16" t="n">
        <x:f>ROUND(AVERAGE(F16:I16),1)</x:f>
        <x:v>6.5</x:v>
      </x:c>
      <x:c r="K16" s="12" t="str">
        <x:f>IF(J16&gt;=7,"High",IF(J16&gt;=4,"Medium","Low"))</x:f>
        <x:v>Medium</x:v>
      </x:c>
      <x:c r="L16" s="12" t="str">
        <x:v>Plastic bottle; sugar production; transport; recycling limits</x:v>
      </x:c>
      <x:c r="M16" s="12" t="str">
        <x:v>Water from reusable bottle or fountain drink in reusable cup</x:v>
      </x:c>
      <x:c r="N16" s="12" t="str">
        <x:v>Choose refillable options more often.</x:v>
      </x:c>
      <x:c r="O16" s="12" t="str">
        <x:v>EPA PET bottle recycling data supports plastic bottle impact context.</x:v>
      </x:c>
      <x:c r="P16" s="12" t="str">
        <x:v>US EPA Plastics: Material-Specific Data</x:v>
      </x:c>
      <x:c r="Q16" s="12" t="str">
        <x:v>https://www.epa.gov/facts-and-figures-about-materials-waste-and-recycling/plastics-material-specific-data</x:v>
      </x:c>
    </x:row>
  </x:sheetData>
  <x:conditionalFormatting sqref="J2:J16">
    <x:cfRule type="colorScale" priority="1">
      <x:colorScale>
        <x:cfvo type="min"/>
        <x:cfvo type="percentile" val="50"/>
        <x:cfvo type="max"/>
        <x:color rgb="DCFCE7"/>
        <x:color rgb="FEF3C7"/>
        <x:color rgb="FECACA"/>
      </x:colorScale>
    </x:cfRule>
  </x:conditionalFormatting>
  <x:conditionalFormatting sqref="K2:K16">
    <x:cfRule type="expression" dxfId="0" priority="2">
      <x:formula>K2="High"</x:formula>
    </x:cfRule>
    <x:cfRule type="expression" dxfId="1" priority="3">
      <x:formula>K2="Medium"</x:formula>
    </x:cfRule>
    <x:cfRule type="expression" dxfId="2" priority="4">
      <x:formula>K2="Low"</x:formula>
    </x:cfRule>
  </x:conditionalFormatting>
  <x:pageMargins left="0.7" right="0.7" top="0.75" bottom="0.75" header="0.3" footer="0.3"/>
  <x:drawing xmlns:r="http://schemas.openxmlformats.org/officeDocument/2006/relationships" r:id="Rd894896c03714335"/>
  <x:tableParts count="1">
    <x:tablePart xmlns:r="http://schemas.openxmlformats.org/officeDocument/2006/relationships" r:id="R2e1fb659e18e4ca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55" hidden="0" customWidth="1"/>
    <x:col min="3" max="3" width="80" hidden="0" customWidth="1"/>
  </x:cols>
  <x:sheetData>
    <x:row r="1">
      <x:c r="A1" s="10" t="str">
        <x:v>source_name</x:v>
      </x:c>
      <x:c r="B1" s="10" t="str">
        <x:v>what_it_supports</x:v>
      </x:c>
      <x:c r="C1" s="10" t="str">
        <x:v>source_url</x:v>
      </x:c>
    </x:row>
    <x:row r="2">
      <x:c r="A2" s="12" t="str">
        <x:v>BasisHacks 2026 Theme Guide</x:v>
      </x:c>
      <x:c r="B2" s="12" t="str">
        <x:v>Theme: Beneath the Surface and judging connection</x:v>
      </x:c>
      <x:c r="C2" s="12" t="str">
        <x:v>Uploaded PDF: BasisHacks 2026 Theme Announcement.pdf</x:v>
      </x:c>
    </x:row>
    <x:row r="3">
      <x:c r="A3" s="12" t="str">
        <x:v>US EPA Plastics: Material-Specific Data</x:v>
      </x:c>
      <x:c r="B3" s="12" t="str">
        <x:v>PET bottle recycling and plastic waste context</x:v>
      </x:c>
      <x:c r="C3" s="12" t="str">
        <x:v>https://www.epa.gov/facts-and-figures-about-materials-waste-and-recycling/plastics-material-specific-data</x:v>
      </x:c>
    </x:row>
    <x:row r="4">
      <x:c r="A4" s="12" t="str">
        <x:v>US EPA Containers and Packaging</x:v>
      </x:c>
      <x:c r="B4" s="12" t="str">
        <x:v>Packaging waste and recycling context</x:v>
      </x:c>
      <x:c r="C4" s="12" t="str">
        <x:v>https://www.epa.gov/facts-and-figures-about-materials-waste-and-recycling/containers-and-packaging-product-specific</x:v>
      </x:c>
    </x:row>
    <x:row r="5">
      <x:c r="A5" s="12" t="str">
        <x:v>US EPA Food Waste / Methane</x:v>
      </x:c>
      <x:c r="B5" s="12" t="str">
        <x:v>Food waste in landfills and methane</x:v>
      </x:c>
      <x:c r="C5" s="12" t="str">
        <x:v>https://www.epa.gov/land-research/quantifying-methane-emissions-landfilled-food-waste</x:v>
      </x:c>
    </x:row>
    <x:row r="6">
      <x:c r="A6" s="12" t="str">
        <x:v>UNEP Sustainable Fashion</x:v>
      </x:c>
      <x:c r="B6" s="12" t="str">
        <x:v>Fashion/textiles emissions, water, microplastics, chemicals</x:v>
      </x:c>
      <x:c r="C6" s="12" t="str">
        <x:v>https://www.unep.org/technical-highlight/sustainable-fashion-take-centre-stage-zero-waste-day</x:v>
      </x:c>
    </x:row>
    <x:row r="7">
      <x:c r="A7" s="12" t="str">
        <x:v>University of Michigan CSS Plastic Waste Factsheet</x:v>
      </x:c>
      <x:c r="B7" s="12" t="str">
        <x:v>Plastic landfill/recycling context</x:v>
      </x:c>
      <x:c r="C7" s="12" t="str">
        <x:v>https://css.umich.edu/publications/factsheets/material-resources/plastic-waste-factsheet</x:v>
      </x:c>
    </x:row>
    <x:row r="8">
      <x:c r="A8" s="12" t="str">
        <x:v>CarbonCloud Beef Hamburger Benchmark</x:v>
      </x:c>
      <x:c r="B8" s="12" t="str">
        <x:v>Beef hamburger carbon footprint context</x:v>
      </x:c>
      <x:c r="C8" s="12" t="str">
        <x:v>https://apps.carboncloud.com/climatehub/product-reports/id/122369844319</x:v>
      </x:c>
    </x:row>
    <x:row r="9">
      <x:c r="A9" s="12" t="str">
        <x:v>Global E-waste Monitor / UNITAR</x:v>
      </x:c>
      <x:c r="B9" s="12" t="str">
        <x:v>E-waste context</x:v>
      </x:c>
      <x:c r="C9" s="12" t="str">
        <x:v>https://ewastemonitor.info/</x:v>
      </x:c>
    </x:row>
    <x:row r="10">
      <x:c r="A10" s="12" t="str">
        <x:v>US EPA Used Lithium-Ion Batteries</x:v>
      </x:c>
      <x:c r="B10" s="12" t="str">
        <x:v>Battery disposal/recycling context</x:v>
      </x:c>
      <x:c r="C10" s="12" t="str">
        <x:v>https://www.epa.gov/recycle/used-lithium-ion-batteries</x:v>
      </x:c>
    </x:row>
  </x:sheetData>
  <x:pageMargins left="0.7" right="0.7" top="0.75" bottom="0.75" header="0.3" footer="0.3"/>
  <x:tableParts count="1">
    <x:tablePart xmlns:r="http://schemas.openxmlformats.org/officeDocument/2006/relationships" r:id="R9e87c56dcf724c4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90" hidden="0" customWidth="1"/>
  </x:cols>
  <x:sheetData>
    <x:row r="1">
      <x:c r="A1" s="14" t="str">
        <x:v>Hidden Cost Calculator Data Table</x:v>
      </x:c>
      <x:c r="B1" s="10"/>
      <x:c r="C1" s="10"/>
    </x:row>
    <x:row r="2">
      <x:c r="A2" s="12"/>
      <x:c r="B2" s="12"/>
    </x:row>
    <x:row r="3">
      <x:c r="A3" s="12" t="str">
        <x:v>Purpose</x:v>
      </x:c>
      <x:c r="B3" s="12" t="str">
        <x:v>Use this workbook as the product database for a hackathon app that reveals hidden environmental costs behind everyday purchases.</x:v>
      </x:c>
    </x:row>
    <x:row r="4">
      <x:c r="A4" s="12" t="str">
        <x:v>Main sheet</x:v>
      </x:c>
      <x:c r="B4" s="12" t="str">
        <x:v>Product Data</x:v>
      </x:c>
    </x:row>
    <x:row r="5">
      <x:c r="A5" s="12" t="str">
        <x:v>Best app fields</x:v>
      </x:c>
      <x:c r="B5" s="12" t="str">
        <x:v>product_id, product_name, surface_description, hidden_environmental_cost, overall_hidden_cost_score, risk_level, key_hidden_impacts, eco_friendly_alternative, small_user_action</x:v>
      </x:c>
    </x:row>
    <x:row r="6">
      <x:c r="A6" s="12" t="str">
        <x:v>Scoring method</x:v>
      </x:c>
      <x:c r="B6" s="12" t="str">
        <x:v>Overall score is the average of carbon, water, waste, and pollution scores.</x:v>
      </x:c>
    </x:row>
    <x:row r="7">
      <x:c r="A7" s="12" t="str">
        <x:v>Theme connection</x:v>
      </x:c>
      <x:c r="B7" s="12" t="str">
        <x:v>Products may look cheap or convenient on the surface, but their environmental costs can be hidden beneath the surface.</x:v>
      </x:c>
    </x:row>
    <x:row r="8">
      <x:c r="A8" s="12" t="str">
        <x:v>Important note</x:v>
      </x:c>
      <x:c r="B8" s="12" t="str">
        <x:v>Scores are simplified for educational/demo purposes, not exact life-cycle assessments.</x:v>
      </x:c>
    </x:row>
    <x:row r="9">
      <x:c r="A9" s="12" t="str">
        <x:v>Updated</x:v>
      </x:c>
      <x:c r="B9" s="12" t="str">
        <x:v>2026-05-25</x:v>
      </x:c>
    </x:row>
  </x:sheetData>
  <x:pageMargins left="0.7" right="0.7" top="0.75" bottom="0.75" header="0.3" footer="0.3"/>
</x:worksheet>
</file>